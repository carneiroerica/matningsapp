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anska-my.sharepoint.com/personal/erica_carneiro_skanska_se/Documents/ECa/Täby Park/GWR/"/>
    </mc:Choice>
  </mc:AlternateContent>
  <xr:revisionPtr revIDLastSave="2" documentId="8_{EA5E93D8-7595-4ED3-9CF0-C8CEEB1F7833}" xr6:coauthVersionLast="47" xr6:coauthVersionMax="47" xr10:uidLastSave="{A674377C-F11F-42C0-87CC-C96CC8FFFA58}"/>
  <bookViews>
    <workbookView xWindow="-120" yWindow="-120" windowWidth="29040" windowHeight="17520" xr2:uid="{00000000-000D-0000-FFFF-FFFF00000000}"/>
  </bookViews>
  <sheets>
    <sheet name="Kostnadsfordel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F2" i="1" s="1"/>
  <c r="E8" i="1" l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<sst xmlns="http://schemas.openxmlformats.org/spreadsheetml/2006/main" count="14" uniqueCount="14">
  <si>
    <t>Månadsvisa rör</t>
  </si>
  <si>
    <t>Kvartalsvisa rör</t>
  </si>
  <si>
    <t>Årsmätningar</t>
  </si>
  <si>
    <t>Andel</t>
  </si>
  <si>
    <t>DP1</t>
  </si>
  <si>
    <t>DP3</t>
  </si>
  <si>
    <t>DP4</t>
  </si>
  <si>
    <t>DP6</t>
  </si>
  <si>
    <t>DP7</t>
  </si>
  <si>
    <t>DP8</t>
  </si>
  <si>
    <t>DP9</t>
  </si>
  <si>
    <t>Kostnadsandel</t>
  </si>
  <si>
    <t>DP (TPAB)</t>
  </si>
  <si>
    <t>Fakturtotal (kr):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</si>
</sst>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/>
    <xf numFmtId="2" fontId="0" fillId="4" borderId="0" xfId="0" applyNumberForma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1" fillId="2" borderId="2" xfId="1" applyAlignment="1">
      <alignment horizontal="center" vertical="center"/>
    </xf>
    <xf numFmtId="2" fontId="0" fillId="5" borderId="0" xfId="0" applyNumberFormat="1" applyFill="1"/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/>
    </xf>
  </cellXfs>
  <cellStyles count="2">
    <cellStyle name="Beräkning" xfId="1" builtinId="22"/>
    <cellStyle name="Normal" xfId="0" builtinId="0"/>
  </cellStyles>
  <dxfs count="9"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88FFEC-C2A4-4E16-A07E-64961FCB02D5}" name="Tabell3" displayName="Tabell3" ref="A1:F9" totalsRowShown="0" headerRowDxfId="8" headerRowBorderDxfId="7" tableBorderDxfId="6">
  <autoFilter ref="A1:F9" xr:uid="{D088FFEC-C2A4-4E16-A07E-64961FCB02D5}"/>
  <tableColumns count="6">
    <tableColumn id="1" xr3:uid="{6F5211C7-8D0C-4F89-8B2C-2B1CC3657CBA}" name="DP (TPAB)" dataDxfId="5"/>
    <tableColumn id="2" xr3:uid="{D824F042-C707-4AAB-AC65-3D4F0C0B94D1}" name="Månadsvisa rör" dataDxfId="4"/>
    <tableColumn id="3" xr3:uid="{F705E739-96CB-4636-A544-4950FADE0C4A}" name="Kvartalsvisa rör" dataDxfId="3"/>
    <tableColumn id="4" xr3:uid="{FE1F902C-B8F7-4C12-A1D1-57C506FDE6E0}" name="Årsmätningar" dataDxfId="2"/>
    <tableColumn id="5" xr3:uid="{6F7C67E1-5585-478F-AA17-DC9D62657D67}" name="Andel" dataDxfId="1"/>
    <tableColumn id="6" xr3:uid="{742A86C1-0179-45F1-969A-08D630E81E09}" name="Kostnadsand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30" sqref="D30"/>
    </sheetView>
  </sheetViews>
  <sheetFormatPr defaultRowHeight="15" x14ac:dyDescent="0.25"/>
  <cols>
    <col min="1" max="1" width="15" style="5" bestFit="1" customWidth="1"/>
    <col min="2" max="3" width="16.5703125" style="5" customWidth="1"/>
    <col min="4" max="4" width="15" style="5" customWidth="1"/>
    <col min="5" max="5" width="9.140625" style="5"/>
    <col min="6" max="6" width="16.140625" style="5" customWidth="1"/>
    <col min="7" max="7" width="17.28515625" style="5" bestFit="1" customWidth="1"/>
    <col min="8" max="16384" width="9.140625" style="5"/>
  </cols>
  <sheetData>
    <row r="1" spans="1:6" s="6" customFormat="1" x14ac:dyDescent="0.25">
      <c r="A1" s="9" t="s">
        <v>12</v>
      </c>
      <c r="B1" s="9" t="s">
        <v>0</v>
      </c>
      <c r="C1" s="9" t="s">
        <v>1</v>
      </c>
      <c r="D1" s="9" t="s">
        <v>2</v>
      </c>
      <c r="E1" s="9" t="s">
        <v>3</v>
      </c>
      <c r="F1" s="10" t="s">
        <v>11</v>
      </c>
    </row>
    <row r="2" spans="1:6" x14ac:dyDescent="0.25">
      <c r="A2" s="2" t="s">
        <v>4</v>
      </c>
      <c r="B2" s="1">
        <v>2</v>
      </c>
      <c r="C2" s="1">
        <v>2</v>
      </c>
      <c r="D2" s="1">
        <f>B2*12+C2*4</f>
        <v>32</v>
      </c>
      <c r="E2" s="1">
        <f t="shared" ref="E2:E8" si="0">D2/SUM($D$2:$D$8)</f>
        <v>6.8965517241379309E-2</v>
      </c>
      <c r="F2" s="3">
        <f t="shared" ref="F2:F8" si="1">B$9*E2</f>
        <v>6896.5517241379312</v>
      </c>
    </row>
    <row r="3" spans="1:6" x14ac:dyDescent="0.25">
      <c r="A3" s="2" t="s">
        <v>5</v>
      </c>
      <c r="B3" s="1">
        <v>9</v>
      </c>
      <c r="C3" s="1">
        <v>2</v>
      </c>
      <c r="D3" s="1">
        <v>72</v>
      </c>
      <c r="E3" s="1">
        <f t="shared" si="0"/>
        <v>0.15517241379310345</v>
      </c>
      <c r="F3" s="3">
        <f t="shared" si="1"/>
        <v>15517.241379310346</v>
      </c>
    </row>
    <row r="4" spans="1:6" x14ac:dyDescent="0.25">
      <c r="A4" s="2" t="s">
        <v>6</v>
      </c>
      <c r="B4" s="1">
        <v>9</v>
      </c>
      <c r="C4" s="1">
        <v>3</v>
      </c>
      <c r="D4" s="1">
        <v>76</v>
      </c>
      <c r="E4" s="1">
        <f t="shared" si="0"/>
        <v>0.16379310344827586</v>
      </c>
      <c r="F4" s="3">
        <f t="shared" si="1"/>
        <v>16379.310344827585</v>
      </c>
    </row>
    <row r="5" spans="1:6" x14ac:dyDescent="0.25">
      <c r="A5" s="2" t="s">
        <v>7</v>
      </c>
      <c r="B5" s="1">
        <v>6</v>
      </c>
      <c r="C5" s="1">
        <v>2</v>
      </c>
      <c r="D5" s="1">
        <v>60</v>
      </c>
      <c r="E5" s="1">
        <f t="shared" si="0"/>
        <v>0.12931034482758622</v>
      </c>
      <c r="F5" s="3">
        <f t="shared" si="1"/>
        <v>12931.034482758621</v>
      </c>
    </row>
    <row r="6" spans="1:6" x14ac:dyDescent="0.25">
      <c r="A6" s="2" t="s">
        <v>8</v>
      </c>
      <c r="B6" s="1">
        <v>4</v>
      </c>
      <c r="C6" s="1">
        <v>5</v>
      </c>
      <c r="D6" s="1">
        <v>64</v>
      </c>
      <c r="E6" s="1">
        <f t="shared" si="0"/>
        <v>0.13793103448275862</v>
      </c>
      <c r="F6" s="3">
        <f t="shared" si="1"/>
        <v>13793.103448275862</v>
      </c>
    </row>
    <row r="7" spans="1:6" x14ac:dyDescent="0.25">
      <c r="A7" s="2" t="s">
        <v>9</v>
      </c>
      <c r="B7" s="1">
        <v>8</v>
      </c>
      <c r="C7" s="1">
        <v>8</v>
      </c>
      <c r="D7" s="1">
        <v>124</v>
      </c>
      <c r="E7" s="1">
        <f t="shared" si="0"/>
        <v>0.26724137931034481</v>
      </c>
      <c r="F7" s="3">
        <f t="shared" si="1"/>
        <v>26724.137931034482</v>
      </c>
    </row>
    <row r="8" spans="1:6" x14ac:dyDescent="0.25">
      <c r="A8" s="2" t="s">
        <v>10</v>
      </c>
      <c r="B8" s="1">
        <v>3</v>
      </c>
      <c r="C8" s="1">
        <v>1</v>
      </c>
      <c r="D8" s="1">
        <v>36</v>
      </c>
      <c r="E8" s="1">
        <f t="shared" si="0"/>
        <v>7.7586206896551727E-2</v>
      </c>
      <c r="F8" s="3">
        <f t="shared" si="1"/>
        <v>7758.620689655173</v>
      </c>
    </row>
    <row r="9" spans="1:6" x14ac:dyDescent="0.25">
      <c r="A9" s="7" t="s">
        <v>13</v>
      </c>
      <c r="B9" s="4">
        <v>100000</v>
      </c>
      <c r="F9" s="8"/>
    </row>
  </sheetData>
  <pageMargins left="0.7" right="0.7" top="0.75" bottom="0.75" header="0.3" footer="0.3"/>
  <pageSetup paperSize="9" orientation="portrait" r:id="rId1"/>
  <headerFooter>
    <oddHeader>&amp;C&amp;"Calibri"&amp;8&amp;K000000 General&amp;1#_x000D_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Kostnadsfordelning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Carneiro, Erica</dc:creator>
  <cp:lastModifiedBy>Carneiro, Erica</cp:lastModifiedBy>
  <dcterms:created xsi:type="dcterms:W3CDTF">2025-05-12T07:08:38Z</dcterms:created>
  <dcterms:modified xsi:type="dcterms:W3CDTF">2025-05-12T12:15:24Z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490da-fed8-48ce-ab1f-32dee818a6c1_Enabled">
    <vt:lpwstr>true</vt:lpwstr>
  </property>
  <property fmtid="{D5CDD505-2E9C-101B-9397-08002B2CF9AE}" pid="3" name="MSIP_Label_aee490da-fed8-48ce-ab1f-32dee818a6c1_SetDate">
    <vt:lpwstr>2025-05-12T07:40:17Z</vt:lpwstr>
  </property>
  <property fmtid="{D5CDD505-2E9C-101B-9397-08002B2CF9AE}" pid="4" name="MSIP_Label_aee490da-fed8-48ce-ab1f-32dee818a6c1_Method">
    <vt:lpwstr>Standard</vt:lpwstr>
  </property>
  <property fmtid="{D5CDD505-2E9C-101B-9397-08002B2CF9AE}" pid="5" name="MSIP_Label_aee490da-fed8-48ce-ab1f-32dee818a6c1_Name">
    <vt:lpwstr>General-Marking</vt:lpwstr>
  </property>
  <property fmtid="{D5CDD505-2E9C-101B-9397-08002B2CF9AE}" pid="6" name="MSIP_Label_aee490da-fed8-48ce-ab1f-32dee818a6c1_SiteId">
    <vt:lpwstr>33dab507-5210-4075-805b-f2717d8cfa74</vt:lpwstr>
  </property>
  <property fmtid="{D5CDD505-2E9C-101B-9397-08002B2CF9AE}" pid="7" name="MSIP_Label_aee490da-fed8-48ce-ab1f-32dee818a6c1_ActionId">
    <vt:lpwstr>6a0876e1-ff48-4891-9ee4-b4b9a8239793</vt:lpwstr>
  </property>
  <property fmtid="{D5CDD505-2E9C-101B-9397-08002B2CF9AE}" pid="8" name="MSIP_Label_aee490da-fed8-48ce-ab1f-32dee818a6c1_ContentBits">
    <vt:lpwstr>1</vt:lpwstr>
  </property>
  <property fmtid="{D5CDD505-2E9C-101B-9397-08002B2CF9AE}" pid="9" name="MSIP_Label_aee490da-fed8-48ce-ab1f-32dee818a6c1_Tag">
    <vt:lpwstr>10, 3, 0, 1</vt:lpwstr>
  </property>
</Properties>
</file>